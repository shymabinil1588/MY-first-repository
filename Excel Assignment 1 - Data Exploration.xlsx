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YMA\"/>
    </mc:Choice>
  </mc:AlternateContent>
  <xr:revisionPtr revIDLastSave="0" documentId="13_ncr:1_{D6A01565-52FE-4B54-9CEE-8759AE38F0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E42" i="3" l="1"/>
  <c r="E41" i="3"/>
  <c r="E39" i="3"/>
  <c r="E38" i="3"/>
  <c r="E40" i="3"/>
  <c r="E44" i="3"/>
  <c r="E43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<sst xmlns="http://schemas.openxmlformats.org/spreadsheetml/2006/main" count="163" uniqueCount="114">
  <si>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</si>
  <si>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</si>
  <si>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</si>
  <si>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</si>
  <si>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</si>
  <si>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</si>
  <si>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</si>
  <si>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</si>
  <si>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</si>
  <si>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</si>
  <si>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</si>
  <si>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</si>
  <si>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</si>
  <si>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</si>
  <si>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</si>
  <si>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</si>
  <si>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</si>
  <si>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</si>
  <si>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</si>
  <si>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</si>
  <si>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</si>
  <si>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</si>
  <si>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</si>
  <si>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</si>
  <si>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</si>
  <si>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</si>
  <si>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</si>
  <si>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</si>
  <si>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</si>
  <si>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</si>
  <si>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</si>
  <si>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</si>
  <si>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</si>
  <si>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</si>
  <si>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</si>
  <si>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</si>
  <si>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</si>
  <si>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</si>
  <si>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</si>
  <si>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</si>
  <si>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</si>
  <si>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</si>
  <si>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</si>
  <si>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</si>
  <si>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</si>
  <si>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</si>
  <si>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</si>
  <si>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</si>
  <si>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</si>
  <si>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</si>
  <si>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</si>
  <si>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</si>
  <si>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</si>
  <si>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</si>
  <si>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</si>
  <si>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</si>
  <si>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</si>
  <si>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</si>
  <si>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</si>
  <si>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</si>
  <si>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</si>
  <si>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</si>
  <si>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</si>
  <si>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</si>
  <si>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</si>
  <si>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</si>
  <si>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</si>
  <si>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</si>
  <si>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</si>
  <si>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</si>
  <si>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</si>
  <si>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</si>
  <si>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</si>
  <si>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</si>
  <si>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</si>
  <si>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</si>
  <si>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</si>
  <si>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</si>
  <si>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</si>
  <si>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</si>
  <si>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</si>
  <si>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</si>
  <si>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</si>
  <si>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</si>
  <si>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</si>
  <si>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</si>
  <si>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</si>
  <si>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</si>
  <si>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</si>
  <si>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</si>
  <si>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</si>
  <si>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</si>
  <si>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</si>
  <si>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</si>
  <si>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</si>
  <si>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</si>
  <si>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Max</t>
  </si>
  <si>
    <t>Min</t>
  </si>
  <si>
    <t>Price Range</t>
  </si>
  <si>
    <t>Price of product less than 100</t>
  </si>
  <si>
    <t>Month</t>
  </si>
  <si>
    <t>Country Code</t>
  </si>
  <si>
    <t>Day</t>
  </si>
  <si>
    <t>Price of Electronic products</t>
  </si>
  <si>
    <t>SUM(H2:H35)</t>
  </si>
  <si>
    <t>COUNT(H2:H35)</t>
  </si>
  <si>
    <t>AVG(H2:H35)</t>
  </si>
  <si>
    <t xml:space="preserve">MAX(H2:H35) </t>
  </si>
  <si>
    <t>MIN(H2:H35)</t>
  </si>
  <si>
    <t>IF(H35&gt;=500,"High price","Standerd price")</t>
  </si>
  <si>
    <t>SUMIF(J2:J35,"Electronics",H2:H35)</t>
  </si>
  <si>
    <t>COUNTIF(Sheet1!H2:H35,"&lt;100")</t>
  </si>
  <si>
    <t>EQUATIONS</t>
  </si>
  <si>
    <t>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</si>
</sst>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 x14ac:knownFonts="1">
    <font>
      <sz val="10"/>
      <color rgb="FF000000"/>
      <name val="Arial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0" fillId="0" borderId="0" xfId="0" applyFont="1" applyAlignment="1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E38-AA06-48FC-966F-6C84BA831CAC}">
  <dimension ref="A1:Q45"/>
  <sheetViews>
    <sheetView tabSelected="1" workbookViewId="0">
      <selection activeCell="B37" sqref="B37:E37"/>
    </sheetView>
  </sheetViews>
  <sheetFormatPr defaultRowHeight="12.5" x14ac:dyDescent="0.25"/>
  <cols>
    <col min="1" max="1" width="12.54296875" bestFit="1" customWidth="1"/>
    <col min="2" max="2" width="11" style="7" customWidth="1"/>
    <col min="3" max="3" width="9.453125" style="7" customWidth="1"/>
    <col min="4" max="4" width="8" style="7" customWidth="1"/>
    <col min="5" max="5" width="17.1796875" bestFit="1" customWidth="1"/>
    <col min="6" max="6" width="13.36328125" bestFit="1" customWidth="1"/>
    <col min="7" max="7" width="15.453125" bestFit="1" customWidth="1"/>
    <col min="8" max="8" width="10.54296875" customWidth="1"/>
    <col min="9" max="9" width="10.6328125" style="7" customWidth="1"/>
    <col min="10" max="10" width="12.54296875" bestFit="1" customWidth="1"/>
    <col min="11" max="11" width="2.1796875" bestFit="1" customWidth="1"/>
    <col min="12" max="12" width="30.6328125" bestFit="1" customWidth="1"/>
    <col min="13" max="13" width="14.08984375" bestFit="1" customWidth="1"/>
    <col min="14" max="14" width="10.81640625" bestFit="1" customWidth="1"/>
  </cols>
  <sheetData>
    <row r="1" spans="1:17" ht="34.5" customHeight="1" x14ac:dyDescent="0.35">
      <c r="A1" s="5" t="s">
        <v>0</v>
      </c>
      <c r="B1" s="5" t="s">
        <v>102</v>
      </c>
      <c r="C1" s="5" t="s">
        <v>101</v>
      </c>
      <c r="D1" s="5" t="s">
        <v>100</v>
      </c>
      <c r="E1" s="5" t="s">
        <v>1</v>
      </c>
      <c r="F1" s="5" t="s">
        <v>2</v>
      </c>
      <c r="G1" s="5" t="s">
        <v>98</v>
      </c>
      <c r="H1" s="5" t="s">
        <v>3</v>
      </c>
      <c r="I1" s="5" t="s">
        <v>4</v>
      </c>
      <c r="J1" s="5" t="s">
        <v>5</v>
      </c>
      <c r="O1" s="2"/>
      <c r="P1" s="2"/>
      <c r="Q1" s="2"/>
    </row>
    <row r="2" spans="1:17" ht="15" customHeight="1" x14ac:dyDescent="0.35">
      <c r="A2" s="3" t="s">
        <v>6</v>
      </c>
      <c r="B2" s="6" t="str">
        <f t="shared" ref="B2:B35" si="0">LEFT(A2,2)</f>
        <v>28</v>
      </c>
      <c r="C2" s="6" t="str">
        <f>RIGHT(A2,2)</f>
        <v>US</v>
      </c>
      <c r="D2" s="6" t="str">
        <f>MID(A2,4,3)</f>
        <v>JAN</v>
      </c>
      <c r="E2" s="3" t="s">
        <v>7</v>
      </c>
      <c r="F2" s="3" t="s">
        <v>8</v>
      </c>
      <c r="G2" s="3" t="str">
        <f>IF(H2&gt;=500,"High price","Standerd price")</f>
        <v>High price</v>
      </c>
      <c r="H2" s="3">
        <v>1000</v>
      </c>
      <c r="I2" s="6">
        <v>30</v>
      </c>
      <c r="J2" s="3" t="s">
        <v>9</v>
      </c>
      <c r="O2" s="2"/>
      <c r="P2" s="2"/>
      <c r="Q2" s="2"/>
    </row>
    <row r="3" spans="1:17" ht="15" customHeight="1" x14ac:dyDescent="0.35">
      <c r="A3" s="3" t="s">
        <v>10</v>
      </c>
      <c r="B3" s="6" t="str">
        <f t="shared" si="0"/>
        <v>15</v>
      </c>
      <c r="C3" s="6" t="str">
        <f t="shared" ref="C3:C35" si="1">RIGHT(A3,2)</f>
        <v>US</v>
      </c>
      <c r="D3" s="6" t="str">
        <f t="shared" ref="D3:D35" si="2">MID(A3,4,3)</f>
        <v>FEB</v>
      </c>
      <c r="E3" s="3" t="s">
        <v>11</v>
      </c>
      <c r="F3" s="3" t="s">
        <v>12</v>
      </c>
      <c r="G3" s="3" t="str">
        <f t="shared" ref="G3:G35" si="3">IF(H3&gt;=500,"High price","Standerd price")</f>
        <v>Standerd price</v>
      </c>
      <c r="H3" s="3">
        <v>80</v>
      </c>
      <c r="I3" s="6">
        <v>15</v>
      </c>
      <c r="J3" s="3" t="s">
        <v>13</v>
      </c>
      <c r="O3" s="2"/>
      <c r="P3" s="2"/>
      <c r="Q3" s="2"/>
    </row>
    <row r="4" spans="1:17" ht="15" customHeight="1" x14ac:dyDescent="0.35">
      <c r="A4" s="3" t="s">
        <v>14</v>
      </c>
      <c r="B4" s="6" t="str">
        <f t="shared" si="0"/>
        <v>03</v>
      </c>
      <c r="C4" s="6" t="str">
        <f t="shared" si="1"/>
        <v>US</v>
      </c>
      <c r="D4" s="6" t="str">
        <f t="shared" si="2"/>
        <v>MAR</v>
      </c>
      <c r="E4" s="3" t="s">
        <v>15</v>
      </c>
      <c r="F4" s="3" t="s">
        <v>16</v>
      </c>
      <c r="G4" s="3" t="str">
        <f t="shared" si="3"/>
        <v>Standerd price</v>
      </c>
      <c r="H4" s="3">
        <v>130</v>
      </c>
      <c r="I4" s="6">
        <v>40</v>
      </c>
      <c r="J4" s="3" t="s">
        <v>17</v>
      </c>
      <c r="O4" s="2"/>
      <c r="P4" s="2"/>
      <c r="Q4" s="2"/>
    </row>
    <row r="5" spans="1:17" ht="15" customHeight="1" x14ac:dyDescent="0.35">
      <c r="A5" s="3" t="s">
        <v>18</v>
      </c>
      <c r="B5" s="6" t="str">
        <f t="shared" si="0"/>
        <v>11</v>
      </c>
      <c r="C5" s="6" t="str">
        <f t="shared" si="1"/>
        <v>US</v>
      </c>
      <c r="D5" s="6" t="str">
        <f t="shared" si="2"/>
        <v>APR</v>
      </c>
      <c r="E5" s="3" t="s">
        <v>19</v>
      </c>
      <c r="F5" s="3" t="s">
        <v>20</v>
      </c>
      <c r="G5" s="3" t="str">
        <f t="shared" si="3"/>
        <v>High price</v>
      </c>
      <c r="H5" s="3">
        <v>900</v>
      </c>
      <c r="I5" s="6">
        <v>25</v>
      </c>
      <c r="J5" s="3" t="s">
        <v>9</v>
      </c>
      <c r="O5" s="2"/>
      <c r="P5" s="2"/>
      <c r="Q5" s="2"/>
    </row>
    <row r="6" spans="1:17" ht="15" customHeight="1" x14ac:dyDescent="0.35">
      <c r="A6" s="3" t="s">
        <v>21</v>
      </c>
      <c r="B6" s="6" t="str">
        <f t="shared" si="0"/>
        <v>22</v>
      </c>
      <c r="C6" s="6" t="str">
        <f t="shared" si="1"/>
        <v>US</v>
      </c>
      <c r="D6" s="6" t="str">
        <f t="shared" si="2"/>
        <v>MAY</v>
      </c>
      <c r="E6" s="3" t="s">
        <v>22</v>
      </c>
      <c r="F6" s="3" t="s">
        <v>23</v>
      </c>
      <c r="G6" s="3" t="str">
        <f t="shared" si="3"/>
        <v>Standerd price</v>
      </c>
      <c r="H6" s="3">
        <v>70</v>
      </c>
      <c r="I6" s="6">
        <v>20</v>
      </c>
      <c r="J6" s="3" t="s">
        <v>24</v>
      </c>
      <c r="O6" s="2"/>
      <c r="P6" s="2"/>
      <c r="Q6" s="2"/>
    </row>
    <row r="7" spans="1:17" ht="15" customHeight="1" x14ac:dyDescent="0.35">
      <c r="A7" s="3" t="s">
        <v>25</v>
      </c>
      <c r="B7" s="6" t="str">
        <f t="shared" si="0"/>
        <v>07</v>
      </c>
      <c r="C7" s="6" t="str">
        <f t="shared" si="1"/>
        <v>UK</v>
      </c>
      <c r="D7" s="6" t="str">
        <f t="shared" si="2"/>
        <v>JUN</v>
      </c>
      <c r="E7" s="3" t="s">
        <v>26</v>
      </c>
      <c r="F7" s="3" t="s">
        <v>27</v>
      </c>
      <c r="G7" s="3" t="str">
        <f t="shared" si="3"/>
        <v>Standerd price</v>
      </c>
      <c r="H7" s="3">
        <v>200</v>
      </c>
      <c r="I7" s="6">
        <v>45</v>
      </c>
      <c r="J7" s="3" t="s">
        <v>9</v>
      </c>
      <c r="O7" s="2"/>
      <c r="P7" s="2"/>
      <c r="Q7" s="2"/>
    </row>
    <row r="8" spans="1:17" ht="15" customHeight="1" x14ac:dyDescent="0.35">
      <c r="A8" s="3" t="s">
        <v>28</v>
      </c>
      <c r="B8" s="6" t="str">
        <f t="shared" si="0"/>
        <v>19</v>
      </c>
      <c r="C8" s="6" t="str">
        <f t="shared" si="1"/>
        <v>UK</v>
      </c>
      <c r="D8" s="6" t="str">
        <f t="shared" si="2"/>
        <v>JUL</v>
      </c>
      <c r="E8" s="3" t="s">
        <v>29</v>
      </c>
      <c r="F8" s="3" t="s">
        <v>30</v>
      </c>
      <c r="G8" s="3" t="str">
        <f t="shared" si="3"/>
        <v>Standerd price</v>
      </c>
      <c r="H8" s="3">
        <v>30</v>
      </c>
      <c r="I8" s="6">
        <v>5</v>
      </c>
      <c r="J8" s="3" t="s">
        <v>13</v>
      </c>
      <c r="O8" s="2"/>
      <c r="P8" s="2"/>
      <c r="Q8" s="2"/>
    </row>
    <row r="9" spans="1:17" ht="15" customHeight="1" x14ac:dyDescent="0.35">
      <c r="A9" s="3" t="s">
        <v>31</v>
      </c>
      <c r="B9" s="6" t="str">
        <f t="shared" si="0"/>
        <v>23</v>
      </c>
      <c r="C9" s="6" t="str">
        <f t="shared" si="1"/>
        <v>UK</v>
      </c>
      <c r="D9" s="6" t="str">
        <f t="shared" si="2"/>
        <v>AUG</v>
      </c>
      <c r="E9" s="3" t="s">
        <v>32</v>
      </c>
      <c r="F9" s="3" t="s">
        <v>33</v>
      </c>
      <c r="G9" s="3" t="str">
        <f t="shared" si="3"/>
        <v>Standerd price</v>
      </c>
      <c r="H9" s="3">
        <v>90</v>
      </c>
      <c r="I9" s="6">
        <v>35</v>
      </c>
      <c r="J9" s="3" t="s">
        <v>17</v>
      </c>
      <c r="O9" s="2"/>
      <c r="P9" s="2"/>
      <c r="Q9" s="2"/>
    </row>
    <row r="10" spans="1:17" ht="15" customHeight="1" x14ac:dyDescent="0.35">
      <c r="A10" s="3" t="s">
        <v>34</v>
      </c>
      <c r="B10" s="6" t="str">
        <f t="shared" si="0"/>
        <v>05</v>
      </c>
      <c r="C10" s="6" t="str">
        <f t="shared" si="1"/>
        <v>UK</v>
      </c>
      <c r="D10" s="6" t="str">
        <f t="shared" si="2"/>
        <v>SEP</v>
      </c>
      <c r="E10" s="3" t="s">
        <v>35</v>
      </c>
      <c r="F10" s="3" t="s">
        <v>36</v>
      </c>
      <c r="G10" s="3" t="str">
        <f t="shared" si="3"/>
        <v>High price</v>
      </c>
      <c r="H10" s="3">
        <v>500</v>
      </c>
      <c r="I10" s="6">
        <v>50</v>
      </c>
      <c r="J10" s="3" t="s">
        <v>9</v>
      </c>
      <c r="O10" s="2"/>
      <c r="P10" s="2"/>
      <c r="Q10" s="2"/>
    </row>
    <row r="11" spans="1:17" ht="15" customHeight="1" x14ac:dyDescent="0.35">
      <c r="A11" s="3" t="s">
        <v>37</v>
      </c>
      <c r="B11" s="6" t="str">
        <f t="shared" si="0"/>
        <v>14</v>
      </c>
      <c r="C11" s="6" t="str">
        <f t="shared" si="1"/>
        <v>UK</v>
      </c>
      <c r="D11" s="6" t="str">
        <f t="shared" si="2"/>
        <v>OCT</v>
      </c>
      <c r="E11" s="3" t="s">
        <v>38</v>
      </c>
      <c r="F11" s="3" t="s">
        <v>39</v>
      </c>
      <c r="G11" s="3" t="str">
        <f t="shared" si="3"/>
        <v>Standerd price</v>
      </c>
      <c r="H11" s="3">
        <v>130</v>
      </c>
      <c r="I11" s="6">
        <v>10</v>
      </c>
      <c r="J11" s="3" t="s">
        <v>24</v>
      </c>
      <c r="K11" s="4"/>
      <c r="L11" s="4"/>
      <c r="M11" s="4"/>
      <c r="N11" s="4"/>
      <c r="O11" s="2"/>
      <c r="P11" s="2"/>
      <c r="Q11" s="2"/>
    </row>
    <row r="12" spans="1:17" ht="15" customHeight="1" x14ac:dyDescent="0.35">
      <c r="A12" s="3" t="s">
        <v>40</v>
      </c>
      <c r="B12" s="6" t="str">
        <f t="shared" si="0"/>
        <v>17</v>
      </c>
      <c r="C12" s="6" t="str">
        <f t="shared" si="1"/>
        <v>IN</v>
      </c>
      <c r="D12" s="6" t="str">
        <f t="shared" si="2"/>
        <v>JUN</v>
      </c>
      <c r="E12" s="3" t="s">
        <v>7</v>
      </c>
      <c r="F12" s="3" t="s">
        <v>41</v>
      </c>
      <c r="G12" s="3" t="str">
        <f t="shared" si="3"/>
        <v>High price</v>
      </c>
      <c r="H12" s="3">
        <v>950</v>
      </c>
      <c r="I12" s="6">
        <v>25</v>
      </c>
      <c r="J12" s="3" t="s">
        <v>9</v>
      </c>
      <c r="K12" s="4"/>
      <c r="L12" s="4"/>
      <c r="M12" s="4"/>
      <c r="N12" s="4"/>
      <c r="O12" s="2"/>
      <c r="P12" s="2"/>
      <c r="Q12" s="2"/>
    </row>
    <row r="13" spans="1:17" ht="15" customHeight="1" x14ac:dyDescent="0.35">
      <c r="A13" s="3" t="s">
        <v>42</v>
      </c>
      <c r="B13" s="6" t="str">
        <f t="shared" si="0"/>
        <v>25</v>
      </c>
      <c r="C13" s="6" t="str">
        <f t="shared" si="1"/>
        <v>AU</v>
      </c>
      <c r="D13" s="6" t="str">
        <f t="shared" si="2"/>
        <v>NOV</v>
      </c>
      <c r="E13" s="3" t="s">
        <v>11</v>
      </c>
      <c r="F13" s="3" t="s">
        <v>30</v>
      </c>
      <c r="G13" s="3" t="str">
        <f t="shared" si="3"/>
        <v>Standerd price</v>
      </c>
      <c r="H13" s="3">
        <v>90</v>
      </c>
      <c r="I13" s="6">
        <v>40</v>
      </c>
      <c r="J13" s="3" t="s">
        <v>13</v>
      </c>
      <c r="K13" s="4"/>
      <c r="L13" s="4"/>
      <c r="M13" s="4"/>
      <c r="N13" s="4"/>
      <c r="O13" s="2"/>
      <c r="P13" s="2"/>
      <c r="Q13" s="2"/>
    </row>
    <row r="14" spans="1:17" ht="15" customHeight="1" x14ac:dyDescent="0.35">
      <c r="A14" s="3" t="s">
        <v>43</v>
      </c>
      <c r="B14" s="6" t="str">
        <f t="shared" si="0"/>
        <v>08</v>
      </c>
      <c r="C14" s="6" t="str">
        <f t="shared" si="1"/>
        <v>DE</v>
      </c>
      <c r="D14" s="6" t="str">
        <f t="shared" si="2"/>
        <v>DEC</v>
      </c>
      <c r="E14" s="3" t="s">
        <v>15</v>
      </c>
      <c r="F14" s="3" t="s">
        <v>44</v>
      </c>
      <c r="G14" s="3" t="str">
        <f t="shared" si="3"/>
        <v>Standerd price</v>
      </c>
      <c r="H14" s="3">
        <v>120</v>
      </c>
      <c r="I14" s="6">
        <v>35</v>
      </c>
      <c r="J14" s="3" t="s">
        <v>17</v>
      </c>
      <c r="K14" s="4"/>
      <c r="L14" s="4"/>
      <c r="M14" s="4"/>
      <c r="N14" s="4"/>
      <c r="O14" s="2"/>
      <c r="P14" s="2"/>
      <c r="Q14" s="2"/>
    </row>
    <row r="15" spans="1:17" ht="15" customHeight="1" x14ac:dyDescent="0.35">
      <c r="A15" s="3" t="s">
        <v>45</v>
      </c>
      <c r="B15" s="6" t="str">
        <f t="shared" si="0"/>
        <v>18</v>
      </c>
      <c r="C15" s="6" t="str">
        <f t="shared" si="1"/>
        <v>CA</v>
      </c>
      <c r="D15" s="6" t="str">
        <f t="shared" si="2"/>
        <v>FEB</v>
      </c>
      <c r="E15" s="3" t="s">
        <v>46</v>
      </c>
      <c r="F15" s="3" t="s">
        <v>47</v>
      </c>
      <c r="G15" s="3" t="str">
        <f t="shared" si="3"/>
        <v>Standerd price</v>
      </c>
      <c r="H15" s="3">
        <v>150</v>
      </c>
      <c r="I15" s="6">
        <v>15</v>
      </c>
      <c r="J15" s="3" t="s">
        <v>9</v>
      </c>
      <c r="K15" s="4"/>
      <c r="L15" s="4"/>
      <c r="M15" s="4"/>
      <c r="N15" s="4"/>
      <c r="O15" s="2"/>
      <c r="P15" s="2"/>
      <c r="Q15" s="2"/>
    </row>
    <row r="16" spans="1:17" ht="15" customHeight="1" x14ac:dyDescent="0.35">
      <c r="A16" s="3" t="s">
        <v>48</v>
      </c>
      <c r="B16" s="6" t="str">
        <f t="shared" si="0"/>
        <v>16</v>
      </c>
      <c r="C16" s="6" t="str">
        <f t="shared" si="1"/>
        <v>ES</v>
      </c>
      <c r="D16" s="6" t="str">
        <f t="shared" si="2"/>
        <v>APR</v>
      </c>
      <c r="E16" s="3" t="s">
        <v>26</v>
      </c>
      <c r="F16" s="3" t="s">
        <v>49</v>
      </c>
      <c r="G16" s="3" t="str">
        <f t="shared" si="3"/>
        <v>Standerd price</v>
      </c>
      <c r="H16" s="3">
        <v>250</v>
      </c>
      <c r="I16" s="6">
        <v>20</v>
      </c>
      <c r="J16" s="3" t="s">
        <v>9</v>
      </c>
      <c r="K16" s="4"/>
      <c r="L16" s="4"/>
      <c r="M16" s="4"/>
      <c r="N16" s="4"/>
      <c r="O16" s="2"/>
      <c r="P16" s="2"/>
      <c r="Q16" s="2"/>
    </row>
    <row r="17" spans="1:17" ht="15" customHeight="1" x14ac:dyDescent="0.35">
      <c r="A17" s="3" t="s">
        <v>50</v>
      </c>
      <c r="B17" s="6" t="str">
        <f t="shared" si="0"/>
        <v>21</v>
      </c>
      <c r="C17" s="6" t="str">
        <f t="shared" si="1"/>
        <v>CA</v>
      </c>
      <c r="D17" s="6" t="str">
        <f t="shared" si="2"/>
        <v>AUG</v>
      </c>
      <c r="E17" s="3" t="s">
        <v>51</v>
      </c>
      <c r="F17" s="3" t="s">
        <v>52</v>
      </c>
      <c r="G17" s="3" t="str">
        <f t="shared" si="3"/>
        <v>Standerd price</v>
      </c>
      <c r="H17" s="3">
        <v>50</v>
      </c>
      <c r="I17" s="6">
        <v>35</v>
      </c>
      <c r="J17" s="3" t="s">
        <v>53</v>
      </c>
      <c r="K17" s="4"/>
      <c r="L17" s="4"/>
      <c r="M17" s="4"/>
      <c r="N17" s="4"/>
      <c r="O17" s="2"/>
      <c r="P17" s="2"/>
      <c r="Q17" s="2"/>
    </row>
    <row r="18" spans="1:17" ht="15" customHeight="1" x14ac:dyDescent="0.35">
      <c r="A18" s="3" t="s">
        <v>54</v>
      </c>
      <c r="B18" s="6" t="str">
        <f t="shared" si="0"/>
        <v>20</v>
      </c>
      <c r="C18" s="6" t="str">
        <f t="shared" si="1"/>
        <v>CN</v>
      </c>
      <c r="D18" s="6" t="str">
        <f t="shared" si="2"/>
        <v>AUG</v>
      </c>
      <c r="E18" s="3" t="s">
        <v>46</v>
      </c>
      <c r="F18" s="3" t="s">
        <v>55</v>
      </c>
      <c r="G18" s="3" t="str">
        <f t="shared" si="3"/>
        <v>Standerd price</v>
      </c>
      <c r="H18" s="3">
        <v>160</v>
      </c>
      <c r="I18" s="6">
        <v>15</v>
      </c>
      <c r="J18" s="3" t="s">
        <v>9</v>
      </c>
      <c r="K18" s="4"/>
      <c r="L18" s="4"/>
      <c r="M18" s="4"/>
      <c r="N18" s="4"/>
      <c r="O18" s="2"/>
      <c r="P18" s="2"/>
      <c r="Q18" s="2"/>
    </row>
    <row r="19" spans="1:17" ht="15" customHeight="1" x14ac:dyDescent="0.35">
      <c r="A19" s="3" t="s">
        <v>56</v>
      </c>
      <c r="B19" s="6" t="str">
        <f t="shared" si="0"/>
        <v>27</v>
      </c>
      <c r="C19" s="6" t="str">
        <f t="shared" si="1"/>
        <v>IT</v>
      </c>
      <c r="D19" s="6" t="str">
        <f t="shared" si="2"/>
        <v>JAN</v>
      </c>
      <c r="E19" s="3" t="s">
        <v>7</v>
      </c>
      <c r="F19" s="3" t="s">
        <v>57</v>
      </c>
      <c r="G19" s="3" t="str">
        <f t="shared" si="3"/>
        <v>High price</v>
      </c>
      <c r="H19" s="3">
        <v>980</v>
      </c>
      <c r="I19" s="6">
        <v>10</v>
      </c>
      <c r="J19" s="3" t="s">
        <v>9</v>
      </c>
      <c r="K19" s="4"/>
      <c r="L19" s="4"/>
      <c r="M19" s="4"/>
      <c r="N19" s="4"/>
      <c r="O19" s="2"/>
      <c r="P19" s="2"/>
      <c r="Q19" s="2"/>
    </row>
    <row r="20" spans="1:17" ht="15" customHeight="1" x14ac:dyDescent="0.35">
      <c r="A20" s="3" t="s">
        <v>58</v>
      </c>
      <c r="B20" s="6" t="str">
        <f t="shared" si="0"/>
        <v>01</v>
      </c>
      <c r="C20" s="6" t="str">
        <f t="shared" si="1"/>
        <v>UK</v>
      </c>
      <c r="D20" s="6" t="str">
        <f t="shared" si="2"/>
        <v>MAR</v>
      </c>
      <c r="E20" s="3" t="s">
        <v>59</v>
      </c>
      <c r="F20" s="3" t="s">
        <v>60</v>
      </c>
      <c r="G20" s="3" t="str">
        <f t="shared" si="3"/>
        <v>Standerd price</v>
      </c>
      <c r="H20" s="3">
        <v>150</v>
      </c>
      <c r="I20" s="6">
        <v>15</v>
      </c>
      <c r="J20" s="3" t="s">
        <v>13</v>
      </c>
      <c r="K20" s="4"/>
      <c r="L20" s="4"/>
      <c r="M20" s="4"/>
      <c r="N20" s="4"/>
      <c r="O20" s="2"/>
      <c r="P20" s="2"/>
      <c r="Q20" s="2"/>
    </row>
    <row r="21" spans="1:17" ht="15" customHeight="1" x14ac:dyDescent="0.35">
      <c r="A21" s="3" t="s">
        <v>61</v>
      </c>
      <c r="B21" s="6" t="str">
        <f t="shared" si="0"/>
        <v>14</v>
      </c>
      <c r="C21" s="6" t="str">
        <f t="shared" si="1"/>
        <v>US</v>
      </c>
      <c r="D21" s="6" t="str">
        <f t="shared" si="2"/>
        <v>AUG</v>
      </c>
      <c r="E21" s="3" t="s">
        <v>62</v>
      </c>
      <c r="F21" s="3" t="s">
        <v>63</v>
      </c>
      <c r="G21" s="3" t="str">
        <f t="shared" si="3"/>
        <v>Standerd price</v>
      </c>
      <c r="H21" s="3">
        <v>200</v>
      </c>
      <c r="I21" s="6">
        <v>10</v>
      </c>
      <c r="J21" s="3" t="s">
        <v>24</v>
      </c>
      <c r="K21" s="4"/>
      <c r="L21" s="4"/>
      <c r="M21" s="4"/>
      <c r="N21" s="4"/>
      <c r="O21" s="2"/>
      <c r="P21" s="2"/>
      <c r="Q21" s="2"/>
    </row>
    <row r="22" spans="1:17" ht="15" customHeight="1" x14ac:dyDescent="0.35">
      <c r="A22" s="3" t="s">
        <v>64</v>
      </c>
      <c r="B22" s="6" t="str">
        <f t="shared" si="0"/>
        <v>14</v>
      </c>
      <c r="C22" s="6" t="str">
        <f t="shared" si="1"/>
        <v>RU</v>
      </c>
      <c r="D22" s="6" t="str">
        <f t="shared" si="2"/>
        <v>MAY</v>
      </c>
      <c r="E22" s="3" t="s">
        <v>65</v>
      </c>
      <c r="F22" s="3" t="s">
        <v>66</v>
      </c>
      <c r="G22" s="3" t="str">
        <f t="shared" si="3"/>
        <v>High price</v>
      </c>
      <c r="H22" s="3">
        <v>700</v>
      </c>
      <c r="I22" s="6">
        <v>50</v>
      </c>
      <c r="J22" s="3" t="s">
        <v>9</v>
      </c>
      <c r="K22" s="4"/>
      <c r="L22" s="4"/>
      <c r="M22" s="4"/>
      <c r="N22" s="4"/>
      <c r="O22" s="2"/>
      <c r="P22" s="2"/>
      <c r="Q22" s="2"/>
    </row>
    <row r="23" spans="1:17" ht="15" customHeight="1" x14ac:dyDescent="0.35">
      <c r="A23" s="3" t="s">
        <v>67</v>
      </c>
      <c r="B23" s="6" t="str">
        <f t="shared" si="0"/>
        <v>09</v>
      </c>
      <c r="C23" s="6" t="str">
        <f t="shared" si="1"/>
        <v>CA</v>
      </c>
      <c r="D23" s="6" t="str">
        <f t="shared" si="2"/>
        <v>JAN</v>
      </c>
      <c r="E23" s="3" t="s">
        <v>68</v>
      </c>
      <c r="F23" s="3" t="s">
        <v>69</v>
      </c>
      <c r="G23" s="3" t="str">
        <f t="shared" si="3"/>
        <v>Standerd price</v>
      </c>
      <c r="H23" s="3">
        <v>80</v>
      </c>
      <c r="I23" s="6">
        <v>20</v>
      </c>
      <c r="J23" s="3" t="s">
        <v>17</v>
      </c>
      <c r="K23" s="4"/>
      <c r="L23" s="4"/>
      <c r="M23" s="4"/>
      <c r="N23" s="4"/>
      <c r="O23" s="2"/>
      <c r="P23" s="2"/>
      <c r="Q23" s="2"/>
    </row>
    <row r="24" spans="1:17" ht="15" customHeight="1" x14ac:dyDescent="0.35">
      <c r="A24" s="3" t="s">
        <v>70</v>
      </c>
      <c r="B24" s="6" t="str">
        <f t="shared" si="0"/>
        <v>19</v>
      </c>
      <c r="C24" s="6" t="str">
        <f t="shared" si="1"/>
        <v>BR</v>
      </c>
      <c r="D24" s="6" t="str">
        <f t="shared" si="2"/>
        <v>JUL</v>
      </c>
      <c r="E24" s="3" t="s">
        <v>71</v>
      </c>
      <c r="F24" s="3" t="s">
        <v>72</v>
      </c>
      <c r="G24" s="3" t="str">
        <f t="shared" si="3"/>
        <v>Standerd price</v>
      </c>
      <c r="H24" s="3">
        <v>150</v>
      </c>
      <c r="I24" s="6">
        <v>30</v>
      </c>
      <c r="J24" s="3" t="s">
        <v>9</v>
      </c>
      <c r="K24" s="4"/>
      <c r="L24" s="4"/>
      <c r="M24" s="4"/>
      <c r="N24" s="4"/>
      <c r="O24" s="2"/>
      <c r="P24" s="2"/>
      <c r="Q24" s="2"/>
    </row>
    <row r="25" spans="1:17" ht="15" customHeight="1" x14ac:dyDescent="0.35">
      <c r="A25" s="3" t="s">
        <v>50</v>
      </c>
      <c r="B25" s="6" t="str">
        <f t="shared" si="0"/>
        <v>21</v>
      </c>
      <c r="C25" s="6" t="str">
        <f t="shared" si="1"/>
        <v>CA</v>
      </c>
      <c r="D25" s="6" t="str">
        <f t="shared" si="2"/>
        <v>AUG</v>
      </c>
      <c r="E25" s="3" t="s">
        <v>51</v>
      </c>
      <c r="F25" s="3" t="s">
        <v>52</v>
      </c>
      <c r="G25" s="3" t="str">
        <f t="shared" si="3"/>
        <v>Standerd price</v>
      </c>
      <c r="H25" s="3">
        <v>50</v>
      </c>
      <c r="I25" s="6">
        <v>35</v>
      </c>
      <c r="J25" s="3" t="s">
        <v>53</v>
      </c>
      <c r="K25" s="4"/>
      <c r="L25" s="4"/>
      <c r="M25" s="4"/>
      <c r="N25" s="4"/>
      <c r="O25" s="2"/>
      <c r="P25" s="2"/>
      <c r="Q25" s="2"/>
    </row>
    <row r="26" spans="1:17" ht="15" customHeight="1" x14ac:dyDescent="0.35">
      <c r="A26" s="3" t="s">
        <v>73</v>
      </c>
      <c r="B26" s="6" t="str">
        <f t="shared" si="0"/>
        <v>29</v>
      </c>
      <c r="C26" s="6" t="str">
        <f t="shared" si="1"/>
        <v>CA</v>
      </c>
      <c r="D26" s="6" t="str">
        <f t="shared" si="2"/>
        <v>SEP</v>
      </c>
      <c r="E26" s="3" t="s">
        <v>19</v>
      </c>
      <c r="F26" s="3" t="s">
        <v>74</v>
      </c>
      <c r="G26" s="3" t="str">
        <f t="shared" si="3"/>
        <v>High price</v>
      </c>
      <c r="H26" s="3">
        <v>800</v>
      </c>
      <c r="I26" s="6">
        <v>45</v>
      </c>
      <c r="J26" s="3" t="s">
        <v>9</v>
      </c>
      <c r="K26" s="4"/>
      <c r="L26" s="4"/>
      <c r="M26" s="4"/>
      <c r="N26" s="4"/>
      <c r="O26" s="2"/>
      <c r="P26" s="2"/>
      <c r="Q26" s="2"/>
    </row>
    <row r="27" spans="1:17" ht="15" customHeight="1" x14ac:dyDescent="0.35">
      <c r="A27" s="3" t="s">
        <v>75</v>
      </c>
      <c r="B27" s="6" t="str">
        <f t="shared" si="0"/>
        <v>03</v>
      </c>
      <c r="C27" s="6" t="str">
        <f t="shared" si="1"/>
        <v>CA</v>
      </c>
      <c r="D27" s="6" t="str">
        <f t="shared" si="2"/>
        <v>JUN</v>
      </c>
      <c r="E27" s="3" t="s">
        <v>59</v>
      </c>
      <c r="F27" s="3" t="s">
        <v>76</v>
      </c>
      <c r="G27" s="3" t="str">
        <f t="shared" si="3"/>
        <v>Standerd price</v>
      </c>
      <c r="H27" s="3">
        <v>130</v>
      </c>
      <c r="I27" s="6">
        <v>25</v>
      </c>
      <c r="J27" s="3" t="s">
        <v>13</v>
      </c>
      <c r="K27" s="4"/>
      <c r="L27" s="4"/>
      <c r="M27" s="4"/>
      <c r="N27" s="4"/>
      <c r="O27" s="2"/>
      <c r="P27" s="2"/>
      <c r="Q27" s="2"/>
    </row>
    <row r="28" spans="1:17" ht="15" customHeight="1" x14ac:dyDescent="0.35">
      <c r="A28" s="3" t="s">
        <v>77</v>
      </c>
      <c r="B28" s="6" t="str">
        <f t="shared" si="0"/>
        <v>11</v>
      </c>
      <c r="C28" s="6" t="str">
        <f t="shared" si="1"/>
        <v>CA</v>
      </c>
      <c r="D28" s="6" t="str">
        <f t="shared" si="2"/>
        <v>JUL</v>
      </c>
      <c r="E28" s="3" t="s">
        <v>32</v>
      </c>
      <c r="F28" s="3" t="s">
        <v>78</v>
      </c>
      <c r="G28" s="3" t="str">
        <f t="shared" si="3"/>
        <v>Standerd price</v>
      </c>
      <c r="H28" s="3">
        <v>400</v>
      </c>
      <c r="I28" s="6">
        <v>40</v>
      </c>
      <c r="J28" s="3" t="s">
        <v>17</v>
      </c>
      <c r="K28" s="4"/>
      <c r="L28" s="4"/>
      <c r="M28" s="4"/>
      <c r="N28" s="4"/>
      <c r="O28" s="2"/>
      <c r="P28" s="2"/>
      <c r="Q28" s="2"/>
    </row>
    <row r="29" spans="1:17" ht="15" customHeight="1" x14ac:dyDescent="0.35">
      <c r="A29" s="3" t="s">
        <v>48</v>
      </c>
      <c r="B29" s="6" t="str">
        <f t="shared" si="0"/>
        <v>16</v>
      </c>
      <c r="C29" s="6" t="str">
        <f t="shared" si="1"/>
        <v>ES</v>
      </c>
      <c r="D29" s="6" t="str">
        <f t="shared" si="2"/>
        <v>APR</v>
      </c>
      <c r="E29" s="3" t="s">
        <v>26</v>
      </c>
      <c r="F29" s="3" t="s">
        <v>49</v>
      </c>
      <c r="G29" s="3" t="str">
        <f t="shared" si="3"/>
        <v>Standerd price</v>
      </c>
      <c r="H29" s="3">
        <v>230</v>
      </c>
      <c r="I29" s="6">
        <v>20</v>
      </c>
      <c r="J29" s="3" t="s">
        <v>9</v>
      </c>
      <c r="K29" s="4"/>
      <c r="L29" s="4"/>
      <c r="M29" s="4"/>
      <c r="N29" s="4"/>
      <c r="O29" s="2"/>
      <c r="P29" s="2"/>
      <c r="Q29" s="2"/>
    </row>
    <row r="30" spans="1:17" ht="15" customHeight="1" x14ac:dyDescent="0.35">
      <c r="A30" s="3" t="s">
        <v>79</v>
      </c>
      <c r="B30" s="6" t="str">
        <f t="shared" si="0"/>
        <v>07</v>
      </c>
      <c r="C30" s="6" t="str">
        <f t="shared" si="1"/>
        <v>CA</v>
      </c>
      <c r="D30" s="6" t="str">
        <f t="shared" si="2"/>
        <v>MAR</v>
      </c>
      <c r="E30" s="3" t="s">
        <v>80</v>
      </c>
      <c r="F30" s="3" t="s">
        <v>81</v>
      </c>
      <c r="G30" s="3" t="str">
        <f t="shared" si="3"/>
        <v>Standerd price</v>
      </c>
      <c r="H30" s="3">
        <v>60</v>
      </c>
      <c r="I30" s="6">
        <v>30</v>
      </c>
      <c r="J30" s="3" t="s">
        <v>13</v>
      </c>
      <c r="K30" s="4"/>
      <c r="L30" s="4"/>
      <c r="M30" s="4"/>
      <c r="N30" s="4"/>
      <c r="O30" s="2"/>
      <c r="P30" s="2"/>
      <c r="Q30" s="2"/>
    </row>
    <row r="31" spans="1:17" ht="15" customHeight="1" x14ac:dyDescent="0.35">
      <c r="A31" s="3" t="s">
        <v>82</v>
      </c>
      <c r="B31" s="6" t="str">
        <f t="shared" si="0"/>
        <v>13</v>
      </c>
      <c r="C31" s="6" t="str">
        <f t="shared" si="1"/>
        <v>CA</v>
      </c>
      <c r="D31" s="6" t="str">
        <f t="shared" si="2"/>
        <v>APR</v>
      </c>
      <c r="E31" s="3" t="s">
        <v>83</v>
      </c>
      <c r="F31" s="3" t="s">
        <v>84</v>
      </c>
      <c r="G31" s="3" t="str">
        <f t="shared" si="3"/>
        <v>Standerd price</v>
      </c>
      <c r="H31" s="3">
        <v>40</v>
      </c>
      <c r="I31" s="6">
        <v>10</v>
      </c>
      <c r="J31" s="3" t="s">
        <v>17</v>
      </c>
      <c r="K31" s="4"/>
      <c r="L31" s="4"/>
      <c r="M31" s="4"/>
      <c r="N31" s="4"/>
      <c r="O31" s="2"/>
      <c r="P31" s="2"/>
      <c r="Q31" s="2"/>
    </row>
    <row r="32" spans="1:17" ht="15" customHeight="1" x14ac:dyDescent="0.35">
      <c r="A32" s="3" t="s">
        <v>85</v>
      </c>
      <c r="B32" s="6" t="str">
        <f t="shared" si="0"/>
        <v>24</v>
      </c>
      <c r="C32" s="6" t="str">
        <f t="shared" si="1"/>
        <v>CA</v>
      </c>
      <c r="D32" s="6" t="str">
        <f t="shared" si="2"/>
        <v>MAY</v>
      </c>
      <c r="E32" s="3" t="s">
        <v>71</v>
      </c>
      <c r="F32" s="3" t="s">
        <v>86</v>
      </c>
      <c r="G32" s="3" t="str">
        <f t="shared" si="3"/>
        <v>Standerd price</v>
      </c>
      <c r="H32" s="3">
        <v>130</v>
      </c>
      <c r="I32" s="6">
        <v>5</v>
      </c>
      <c r="J32" s="3" t="s">
        <v>9</v>
      </c>
      <c r="K32" s="4"/>
      <c r="L32" s="4"/>
      <c r="M32" s="4"/>
      <c r="N32" s="4"/>
      <c r="O32" s="2"/>
      <c r="P32" s="2"/>
      <c r="Q32" s="2"/>
    </row>
    <row r="33" spans="1:17" ht="15" customHeight="1" x14ac:dyDescent="0.35">
      <c r="A33" s="3" t="s">
        <v>87</v>
      </c>
      <c r="B33" s="6" t="str">
        <f t="shared" si="0"/>
        <v>02</v>
      </c>
      <c r="C33" s="6" t="str">
        <f t="shared" si="1"/>
        <v>CA</v>
      </c>
      <c r="D33" s="6" t="str">
        <f t="shared" si="2"/>
        <v>DEC</v>
      </c>
      <c r="E33" s="3" t="s">
        <v>88</v>
      </c>
      <c r="F33" s="3" t="s">
        <v>89</v>
      </c>
      <c r="G33" s="3" t="str">
        <f t="shared" si="3"/>
        <v>Standerd price</v>
      </c>
      <c r="H33" s="3">
        <v>50</v>
      </c>
      <c r="I33" s="6">
        <v>50</v>
      </c>
      <c r="J33" s="3" t="s">
        <v>13</v>
      </c>
      <c r="K33" s="4"/>
      <c r="L33" s="4"/>
      <c r="M33" s="4"/>
      <c r="N33" s="4"/>
      <c r="O33" s="2"/>
      <c r="P33" s="2"/>
      <c r="Q33" s="2"/>
    </row>
    <row r="34" spans="1:17" ht="15" customHeight="1" x14ac:dyDescent="0.35">
      <c r="A34" s="3" t="s">
        <v>40</v>
      </c>
      <c r="B34" s="6" t="str">
        <f t="shared" si="0"/>
        <v>17</v>
      </c>
      <c r="C34" s="6" t="str">
        <f t="shared" si="1"/>
        <v>IN</v>
      </c>
      <c r="D34" s="6" t="str">
        <f t="shared" si="2"/>
        <v>JUN</v>
      </c>
      <c r="E34" s="3" t="s">
        <v>7</v>
      </c>
      <c r="F34" s="3" t="s">
        <v>41</v>
      </c>
      <c r="G34" s="3" t="str">
        <f t="shared" si="3"/>
        <v>High price</v>
      </c>
      <c r="H34" s="3">
        <v>950</v>
      </c>
      <c r="I34" s="6">
        <v>25</v>
      </c>
      <c r="J34" s="3" t="s">
        <v>9</v>
      </c>
      <c r="K34" s="4"/>
      <c r="L34" s="4"/>
      <c r="M34" s="4"/>
      <c r="N34" s="4"/>
      <c r="O34" s="2"/>
      <c r="P34" s="2"/>
      <c r="Q34" s="2"/>
    </row>
    <row r="35" spans="1:17" ht="15" customHeight="1" x14ac:dyDescent="0.35">
      <c r="A35" s="3" t="s">
        <v>90</v>
      </c>
      <c r="B35" s="6" t="str">
        <f t="shared" si="0"/>
        <v>09</v>
      </c>
      <c r="C35" s="6" t="str">
        <f t="shared" si="1"/>
        <v>FR</v>
      </c>
      <c r="D35" s="6" t="str">
        <f t="shared" si="2"/>
        <v>JUL</v>
      </c>
      <c r="E35" s="3" t="s">
        <v>91</v>
      </c>
      <c r="F35" s="3" t="s">
        <v>92</v>
      </c>
      <c r="G35" s="3" t="str">
        <f t="shared" si="3"/>
        <v>Standerd price</v>
      </c>
      <c r="H35" s="3">
        <v>100</v>
      </c>
      <c r="I35" s="6">
        <v>20</v>
      </c>
      <c r="J35" s="3" t="s">
        <v>53</v>
      </c>
      <c r="K35" s="4"/>
      <c r="L35" s="4"/>
      <c r="M35" s="4"/>
      <c r="N35" s="4"/>
      <c r="O35" s="2"/>
      <c r="P35" s="2"/>
      <c r="Q35" s="2"/>
    </row>
    <row r="36" spans="1:17" ht="15" customHeight="1" x14ac:dyDescent="0.35">
      <c r="A36" s="8"/>
      <c r="B36" s="9"/>
      <c r="C36" s="9"/>
      <c r="D36" s="9"/>
      <c r="E36" s="8"/>
      <c r="F36" s="8"/>
      <c r="G36" s="8"/>
      <c r="H36" s="8"/>
      <c r="I36" s="9"/>
      <c r="J36" s="8"/>
      <c r="K36" s="4"/>
      <c r="L36" s="4"/>
      <c r="M36" s="4"/>
      <c r="N36" s="4"/>
      <c r="O36" s="2"/>
      <c r="P36" s="2"/>
      <c r="Q36" s="2"/>
    </row>
    <row r="37" spans="1:17" ht="19.5" customHeight="1" x14ac:dyDescent="0.35">
      <c r="A37" s="4"/>
      <c r="B37" s="12" t="s">
        <v>113</v>
      </c>
      <c r="C37" s="12"/>
      <c r="D37" s="12"/>
      <c r="E37" s="12"/>
      <c r="F37" s="4"/>
      <c r="G37" s="12" t="s">
        <v>112</v>
      </c>
      <c r="H37" s="12"/>
      <c r="I37" s="12"/>
      <c r="J37" s="4"/>
      <c r="K37" s="4"/>
      <c r="L37" s="4"/>
      <c r="M37" s="4"/>
      <c r="N37" s="4"/>
      <c r="O37" s="2"/>
      <c r="P37" s="2"/>
      <c r="Q37" s="2"/>
    </row>
    <row r="38" spans="1:17" ht="17.5" customHeight="1" x14ac:dyDescent="0.25">
      <c r="A38" s="4"/>
      <c r="B38" s="19" t="s">
        <v>93</v>
      </c>
      <c r="C38" s="19"/>
      <c r="D38" s="19"/>
      <c r="E38" s="3">
        <f>SUM(H2:H35)</f>
        <v>10100</v>
      </c>
      <c r="F38" s="1"/>
      <c r="G38" s="13" t="s">
        <v>104</v>
      </c>
      <c r="H38" s="14"/>
      <c r="I38" s="15"/>
      <c r="J38" s="1"/>
      <c r="K38" s="1"/>
      <c r="L38" s="1"/>
      <c r="M38" s="1"/>
      <c r="N38" s="1"/>
    </row>
    <row r="39" spans="1:17" ht="17.5" customHeight="1" x14ac:dyDescent="0.35">
      <c r="A39" s="4"/>
      <c r="B39" s="19" t="s">
        <v>94</v>
      </c>
      <c r="C39" s="19"/>
      <c r="D39" s="19"/>
      <c r="E39" s="3">
        <f>COUNT(H2:H35)</f>
        <v>34</v>
      </c>
      <c r="G39" s="16" t="s">
        <v>105</v>
      </c>
      <c r="H39" s="17"/>
      <c r="I39" s="18"/>
    </row>
    <row r="40" spans="1:17" ht="17.5" customHeight="1" x14ac:dyDescent="0.35">
      <c r="A40" s="4"/>
      <c r="B40" s="19" t="s">
        <v>95</v>
      </c>
      <c r="C40" s="19"/>
      <c r="D40" s="19"/>
      <c r="E40" s="10">
        <f>AVERAGE(H2:H35)</f>
        <v>297.05882352941177</v>
      </c>
      <c r="G40" s="16" t="s">
        <v>106</v>
      </c>
      <c r="H40" s="17"/>
      <c r="I40" s="18"/>
    </row>
    <row r="41" spans="1:17" ht="17.5" customHeight="1" x14ac:dyDescent="0.35">
      <c r="A41" s="4"/>
      <c r="B41" s="19" t="s">
        <v>96</v>
      </c>
      <c r="C41" s="19"/>
      <c r="D41" s="19"/>
      <c r="E41" s="3">
        <f>MAX(H2:H35)</f>
        <v>1000</v>
      </c>
      <c r="G41" s="16" t="s">
        <v>107</v>
      </c>
      <c r="H41" s="17"/>
      <c r="I41" s="18"/>
    </row>
    <row r="42" spans="1:17" ht="17.5" customHeight="1" x14ac:dyDescent="0.35">
      <c r="A42" s="4"/>
      <c r="B42" s="19" t="s">
        <v>97</v>
      </c>
      <c r="C42" s="19"/>
      <c r="D42" s="19"/>
      <c r="E42" s="3">
        <f>MIN(H2:H35)</f>
        <v>30</v>
      </c>
      <c r="G42" s="16" t="s">
        <v>108</v>
      </c>
      <c r="H42" s="17"/>
      <c r="I42" s="18"/>
    </row>
    <row r="43" spans="1:17" ht="17.5" customHeight="1" x14ac:dyDescent="0.25">
      <c r="A43" s="4"/>
      <c r="B43" s="20" t="s">
        <v>103</v>
      </c>
      <c r="C43" s="20"/>
      <c r="D43" s="20"/>
      <c r="E43" s="3">
        <f>SUMIF(J2:J35,"Electronics",H2:H35)</f>
        <v>8050</v>
      </c>
      <c r="G43" s="19" t="s">
        <v>109</v>
      </c>
      <c r="H43" s="19"/>
      <c r="I43" s="19"/>
    </row>
    <row r="44" spans="1:17" ht="28" customHeight="1" x14ac:dyDescent="0.35">
      <c r="A44" s="4"/>
      <c r="B44" s="20" t="s">
        <v>99</v>
      </c>
      <c r="C44" s="20"/>
      <c r="D44" s="20"/>
      <c r="E44" s="3">
        <f>COUNTIF(Sheet1!H2:H35,"&lt;100")</f>
        <v>11</v>
      </c>
      <c r="G44" s="11" t="s">
        <v>110</v>
      </c>
      <c r="H44" s="11"/>
      <c r="I44" s="11"/>
    </row>
    <row r="45" spans="1:17" ht="17.5" customHeight="1" x14ac:dyDescent="0.35">
      <c r="G45" s="11" t="s">
        <v>111</v>
      </c>
      <c r="H45" s="11"/>
      <c r="I45" s="11"/>
    </row>
  </sheetData>
  <mergeCells count="17">
    <mergeCell ref="G44:I44"/>
    <mergeCell ref="G45:I45"/>
    <mergeCell ref="G37:I37"/>
    <mergeCell ref="B37:E37"/>
    <mergeCell ref="G38:I38"/>
    <mergeCell ref="G40:I40"/>
    <mergeCell ref="G39:I39"/>
    <mergeCell ref="B38:D38"/>
    <mergeCell ref="B39:D39"/>
    <mergeCell ref="B40:D40"/>
    <mergeCell ref="B41:D41"/>
    <mergeCell ref="B42:D42"/>
    <mergeCell ref="G41:I41"/>
    <mergeCell ref="G42:I42"/>
    <mergeCell ref="B43:D43"/>
    <mergeCell ref="B44:D44"/>
    <mergeCell ref="G43:I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cp:lastPrinted>2026-09-13T16:31:15Z</cp:lastPrinted>
  <dcterms:modified xsi:type="dcterms:W3CDTF">2026-09-14T05:19:50Z</dcterms:modified>
</cp:coreProperties>
</file>